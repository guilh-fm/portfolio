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\Documents\1.Pessoal\GIT\Portfólio\Preenchimento de Documentos\git\OI\"/>
    </mc:Choice>
  </mc:AlternateContent>
  <xr:revisionPtr revIDLastSave="0" documentId="13_ncr:1_{68E458C3-4A2E-4B8B-89BE-F1CE9B3E427A}" xr6:coauthVersionLast="47" xr6:coauthVersionMax="47" xr10:uidLastSave="{00000000-0000-0000-0000-000000000000}"/>
  <bookViews>
    <workbookView xWindow="-120" yWindow="-120" windowWidth="29040" windowHeight="15840" xr2:uid="{E45ED993-13CB-4C0D-BE7B-4EF567E1B844}"/>
  </bookViews>
  <sheets>
    <sheet name="Planilha1" sheetId="1" r:id="rId1"/>
  </sheets>
  <definedNames>
    <definedName name="_xlnm._FilterDatabase" localSheetId="0" hidden="1">Planilha1!$A$2:$V$2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7" i="1"/>
  <c r="S6" i="1"/>
  <c r="S5" i="1"/>
  <c r="S4" i="1"/>
  <c r="S3" i="1"/>
  <c r="J1" i="1"/>
</calcChain>
</file>

<file path=xl/sharedStrings.xml><?xml version="1.0" encoding="utf-8"?>
<sst xmlns="http://schemas.openxmlformats.org/spreadsheetml/2006/main" count="102" uniqueCount="57">
  <si>
    <t>UF</t>
  </si>
  <si>
    <t>CN</t>
  </si>
  <si>
    <t>ÁREA LOCAL</t>
  </si>
  <si>
    <t>SIGLA</t>
  </si>
  <si>
    <t>CNL</t>
  </si>
  <si>
    <t>SETOR</t>
  </si>
  <si>
    <t>PC</t>
  </si>
  <si>
    <t>PREFIXO</t>
  </si>
  <si>
    <t>INICIAL</t>
  </si>
  <si>
    <t>TARIFÁRIA</t>
  </si>
  <si>
    <t>EOT</t>
  </si>
  <si>
    <t>EOT LD</t>
  </si>
  <si>
    <t>RN1</t>
  </si>
  <si>
    <t>LOCAL</t>
  </si>
  <si>
    <t>ENDEREÇO DO POI / PPI OPERADORA</t>
  </si>
  <si>
    <t>LATITUDE</t>
  </si>
  <si>
    <t>LONGITUDE</t>
  </si>
  <si>
    <t>CIDADE</t>
  </si>
  <si>
    <t>FINAL</t>
  </si>
  <si>
    <t>ÁREA</t>
  </si>
  <si>
    <t>NÚMERO PEDIDO ITX</t>
  </si>
  <si>
    <t>PR</t>
  </si>
  <si>
    <t>Paulo Frontin</t>
  </si>
  <si>
    <t>42</t>
  </si>
  <si>
    <t>PLF</t>
  </si>
  <si>
    <t>41474</t>
  </si>
  <si>
    <t>425</t>
  </si>
  <si>
    <t>Rio Bonito Do Iguaçu</t>
  </si>
  <si>
    <t>RBN</t>
  </si>
  <si>
    <t>41547</t>
  </si>
  <si>
    <t>427</t>
  </si>
  <si>
    <t>Morretes</t>
  </si>
  <si>
    <t>41</t>
  </si>
  <si>
    <t>MES</t>
  </si>
  <si>
    <t>41411</t>
  </si>
  <si>
    <t>414</t>
  </si>
  <si>
    <t>Nova Laranjeiras</t>
  </si>
  <si>
    <t>NLJ</t>
  </si>
  <si>
    <t>41735</t>
  </si>
  <si>
    <t>Antonina</t>
  </si>
  <si>
    <t>AON</t>
  </si>
  <si>
    <t>41037</t>
  </si>
  <si>
    <t>Guaraqueçaba</t>
  </si>
  <si>
    <t>GQB</t>
  </si>
  <si>
    <t>41266</t>
  </si>
  <si>
    <t>ITX via SIPi</t>
  </si>
  <si>
    <t>ESTADO</t>
  </si>
  <si>
    <t>ESTADO 1</t>
  </si>
  <si>
    <t>ESTADO 2</t>
  </si>
  <si>
    <t>ESTADO 3</t>
  </si>
  <si>
    <t>ESTADO 4</t>
  </si>
  <si>
    <t>ESTADO 5</t>
  </si>
  <si>
    <t>ESTADO 6</t>
  </si>
  <si>
    <t>CEP</t>
  </si>
  <si>
    <t>A0A</t>
  </si>
  <si>
    <t>G°M'S"S</t>
  </si>
  <si>
    <t>G°M'S"W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</si>
</sst>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DF0A4033-A711-41B0-939F-30904DCD1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EC31-9A83-41BC-8513-9344348D04DC}">
  <dimension ref="A1:V8"/>
  <sheetViews>
    <sheetView tabSelected="1" topLeftCell="E1" zoomScale="85" zoomScaleNormal="85" workbookViewId="0">
      <selection activeCell="M13" sqref="M13"/>
    </sheetView>
  </sheetViews>
  <sheetFormatPr defaultRowHeight="15" x14ac:dyDescent="0.25"/>
  <cols>
    <col min="1" max="1" width="27.140625" style="1" bestFit="1" customWidth="1"/>
    <col min="2" max="2" width="3.7109375" style="1" bestFit="1" customWidth="1"/>
    <col min="3" max="3" width="11.7109375" style="1" bestFit="1" customWidth="1"/>
    <col min="4" max="4" width="4.140625" style="1" bestFit="1" customWidth="1"/>
    <col min="5" max="5" width="27.140625" style="1" bestFit="1" customWidth="1"/>
    <col min="6" max="7" width="6.5703125" style="1" bestFit="1" customWidth="1"/>
    <col min="8" max="8" width="7" style="1" bestFit="1" customWidth="1"/>
    <col min="9" max="9" width="23.7109375" style="1" bestFit="1" customWidth="1"/>
    <col min="10" max="10" width="8.7109375" style="1" bestFit="1" customWidth="1"/>
    <col min="11" max="11" width="7.7109375" style="1" bestFit="1" customWidth="1"/>
    <col min="12" max="12" width="6.28515625" style="1" bestFit="1" customWidth="1"/>
    <col min="13" max="13" width="10" style="1" bestFit="1" customWidth="1"/>
    <col min="14" max="14" width="4.5703125" style="1" bestFit="1" customWidth="1"/>
    <col min="15" max="15" width="7.28515625" style="1" bestFit="1" customWidth="1"/>
    <col min="16" max="16" width="6.5703125" style="1" bestFit="1" customWidth="1"/>
    <col min="17" max="17" width="19.85546875" style="1" bestFit="1" customWidth="1"/>
    <col min="18" max="18" width="27.140625" style="1" bestFit="1" customWidth="1"/>
    <col min="19" max="19" width="90.28515625" style="1" bestFit="1" customWidth="1"/>
    <col min="20" max="20" width="9.85546875" style="1" bestFit="1" customWidth="1"/>
    <col min="21" max="21" width="21" style="1" bestFit="1" customWidth="1"/>
    <col min="22" max="22" width="21.42578125" style="1" bestFit="1" customWidth="1"/>
  </cols>
  <sheetData>
    <row r="1" spans="1:22" x14ac:dyDescent="0.25">
      <c r="J1" s="4" t="str">
        <f>CONCATENATE(K1,"PLANO DE NUMERAÇÃO")</f>
        <v>PLANO DE NUMERAÇÃO</v>
      </c>
      <c r="K1" s="3"/>
      <c r="M1" s="2" t="s">
        <v>19</v>
      </c>
      <c r="Q1" s="2" t="s">
        <v>20</v>
      </c>
    </row>
    <row r="2" spans="1:22" x14ac:dyDescent="0.25">
      <c r="A2" s="2" t="s">
        <v>17</v>
      </c>
      <c r="B2" s="2" t="s">
        <v>0</v>
      </c>
      <c r="C2" s="2" t="s">
        <v>46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18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2</v>
      </c>
      <c r="S2" s="2" t="s">
        <v>14</v>
      </c>
      <c r="T2" s="2" t="s">
        <v>53</v>
      </c>
      <c r="U2" s="2" t="s">
        <v>15</v>
      </c>
      <c r="V2" s="2" t="s">
        <v>16</v>
      </c>
    </row>
    <row r="3" spans="1:22" x14ac:dyDescent="0.25">
      <c r="A3" s="2" t="s">
        <v>31</v>
      </c>
      <c r="B3" s="2" t="s">
        <v>21</v>
      </c>
      <c r="C3" s="2" t="s">
        <v>47</v>
      </c>
      <c r="D3" s="2" t="s">
        <v>32</v>
      </c>
      <c r="E3" s="2" t="s">
        <v>31</v>
      </c>
      <c r="F3" s="2" t="s">
        <v>33</v>
      </c>
      <c r="G3" s="2" t="s">
        <v>34</v>
      </c>
      <c r="H3" s="2">
        <v>19</v>
      </c>
      <c r="I3" s="2" t="s">
        <v>45</v>
      </c>
      <c r="J3" s="2">
        <v>9999</v>
      </c>
      <c r="K3" s="2">
        <v>1000</v>
      </c>
      <c r="L3" s="2">
        <v>1999</v>
      </c>
      <c r="M3" s="2" t="s">
        <v>35</v>
      </c>
      <c r="N3" s="2" t="s">
        <v>54</v>
      </c>
      <c r="O3" s="2"/>
      <c r="P3" s="2">
        <v>55999</v>
      </c>
      <c r="Q3" s="2"/>
      <c r="R3" s="2" t="s">
        <v>31</v>
      </c>
      <c r="S3" s="2" t="str">
        <f>CONCATENATE("RUA EXEMPLO, 1 - ", R3)</f>
        <v>RUA EXEMPLO, 1 - Morretes</v>
      </c>
      <c r="T3" s="2">
        <v>11111111</v>
      </c>
      <c r="U3" s="2" t="s">
        <v>55</v>
      </c>
      <c r="V3" s="2" t="s">
        <v>56</v>
      </c>
    </row>
    <row r="4" spans="1:22" x14ac:dyDescent="0.25">
      <c r="A4" s="2" t="s">
        <v>39</v>
      </c>
      <c r="B4" s="2" t="s">
        <v>21</v>
      </c>
      <c r="C4" s="2" t="s">
        <v>48</v>
      </c>
      <c r="D4" s="2" t="s">
        <v>32</v>
      </c>
      <c r="E4" s="2" t="s">
        <v>39</v>
      </c>
      <c r="F4" s="2" t="s">
        <v>40</v>
      </c>
      <c r="G4" s="2" t="s">
        <v>41</v>
      </c>
      <c r="H4" s="2">
        <v>19</v>
      </c>
      <c r="I4" s="2" t="s">
        <v>45</v>
      </c>
      <c r="J4" s="2">
        <v>9999</v>
      </c>
      <c r="K4" s="2">
        <v>1000</v>
      </c>
      <c r="L4" s="2">
        <v>1999</v>
      </c>
      <c r="M4" s="2" t="s">
        <v>35</v>
      </c>
      <c r="N4" s="2" t="s">
        <v>54</v>
      </c>
      <c r="O4" s="2"/>
      <c r="P4" s="2">
        <v>55999</v>
      </c>
      <c r="Q4" s="2"/>
      <c r="R4" s="2" t="s">
        <v>39</v>
      </c>
      <c r="S4" s="2" t="str">
        <f>CONCATENATE("RUA EXEMPLO, 2 - ", R4)</f>
        <v>RUA EXEMPLO, 2 - Antonina</v>
      </c>
      <c r="T4" s="2">
        <v>11111112</v>
      </c>
      <c r="U4" s="2" t="s">
        <v>55</v>
      </c>
      <c r="V4" s="2" t="s">
        <v>56</v>
      </c>
    </row>
    <row r="5" spans="1:22" x14ac:dyDescent="0.25">
      <c r="A5" s="2" t="s">
        <v>42</v>
      </c>
      <c r="B5" s="2" t="s">
        <v>21</v>
      </c>
      <c r="C5" s="2" t="s">
        <v>49</v>
      </c>
      <c r="D5" s="2" t="s">
        <v>32</v>
      </c>
      <c r="E5" s="2" t="s">
        <v>42</v>
      </c>
      <c r="F5" s="2" t="s">
        <v>43</v>
      </c>
      <c r="G5" s="2" t="s">
        <v>44</v>
      </c>
      <c r="H5" s="2">
        <v>19</v>
      </c>
      <c r="I5" s="2" t="s">
        <v>45</v>
      </c>
      <c r="J5" s="2">
        <v>9999</v>
      </c>
      <c r="K5" s="2">
        <v>1000</v>
      </c>
      <c r="L5" s="2">
        <v>1999</v>
      </c>
      <c r="M5" s="2" t="s">
        <v>35</v>
      </c>
      <c r="N5" s="2" t="s">
        <v>54</v>
      </c>
      <c r="O5" s="2"/>
      <c r="P5" s="2">
        <v>55999</v>
      </c>
      <c r="Q5" s="2"/>
      <c r="R5" s="2" t="s">
        <v>42</v>
      </c>
      <c r="S5" s="2" t="str">
        <f>CONCATENATE("RUA EXEMPLO, 3 - ", R5)</f>
        <v>RUA EXEMPLO, 3 - Guaraqueçaba</v>
      </c>
      <c r="T5" s="2">
        <v>11111113</v>
      </c>
      <c r="U5" s="2" t="s">
        <v>55</v>
      </c>
      <c r="V5" s="2" t="s">
        <v>56</v>
      </c>
    </row>
    <row r="6" spans="1:22" x14ac:dyDescent="0.25">
      <c r="A6" s="2" t="s">
        <v>22</v>
      </c>
      <c r="B6" s="2" t="s">
        <v>21</v>
      </c>
      <c r="C6" s="2" t="s">
        <v>50</v>
      </c>
      <c r="D6" s="2" t="s">
        <v>23</v>
      </c>
      <c r="E6" s="2" t="s">
        <v>22</v>
      </c>
      <c r="F6" s="2" t="s">
        <v>24</v>
      </c>
      <c r="G6" s="2" t="s">
        <v>25</v>
      </c>
      <c r="H6" s="2">
        <v>19</v>
      </c>
      <c r="I6" s="2" t="s">
        <v>45</v>
      </c>
      <c r="J6" s="2">
        <v>9999</v>
      </c>
      <c r="K6" s="2">
        <v>1000</v>
      </c>
      <c r="L6" s="2">
        <v>1999</v>
      </c>
      <c r="M6" s="2" t="s">
        <v>26</v>
      </c>
      <c r="N6" s="2" t="s">
        <v>54</v>
      </c>
      <c r="O6" s="2"/>
      <c r="P6" s="2">
        <v>55999</v>
      </c>
      <c r="Q6" s="2"/>
      <c r="R6" s="2" t="s">
        <v>22</v>
      </c>
      <c r="S6" s="2" t="str">
        <f>CONCATENATE("RUA EXEMPLO, 4 - ", R6)</f>
        <v>RUA EXEMPLO, 4 - Paulo Frontin</v>
      </c>
      <c r="T6" s="2">
        <v>11111114</v>
      </c>
      <c r="U6" s="2" t="s">
        <v>55</v>
      </c>
      <c r="V6" s="2" t="s">
        <v>56</v>
      </c>
    </row>
    <row r="7" spans="1:22" x14ac:dyDescent="0.25">
      <c r="A7" s="2" t="s">
        <v>27</v>
      </c>
      <c r="B7" s="2" t="s">
        <v>21</v>
      </c>
      <c r="C7" s="2" t="s">
        <v>51</v>
      </c>
      <c r="D7" s="2" t="s">
        <v>23</v>
      </c>
      <c r="E7" s="2" t="s">
        <v>27</v>
      </c>
      <c r="F7" s="2" t="s">
        <v>28</v>
      </c>
      <c r="G7" s="2" t="s">
        <v>29</v>
      </c>
      <c r="H7" s="2">
        <v>19</v>
      </c>
      <c r="I7" s="2" t="s">
        <v>45</v>
      </c>
      <c r="J7" s="2">
        <v>9999</v>
      </c>
      <c r="K7" s="2">
        <v>1000</v>
      </c>
      <c r="L7" s="2">
        <v>1999</v>
      </c>
      <c r="M7" s="2" t="s">
        <v>30</v>
      </c>
      <c r="N7" s="2" t="s">
        <v>54</v>
      </c>
      <c r="O7" s="2"/>
      <c r="P7" s="2">
        <v>55999</v>
      </c>
      <c r="Q7" s="2"/>
      <c r="R7" s="2" t="s">
        <v>27</v>
      </c>
      <c r="S7" s="2" t="str">
        <f>CONCATENATE("RUA EXEMPLO, 5 - ", R7)</f>
        <v>RUA EXEMPLO, 5 - Rio Bonito Do Iguaçu</v>
      </c>
      <c r="T7" s="2">
        <v>11111115</v>
      </c>
      <c r="U7" s="2" t="s">
        <v>55</v>
      </c>
      <c r="V7" s="2" t="s">
        <v>56</v>
      </c>
    </row>
    <row r="8" spans="1:22" x14ac:dyDescent="0.25">
      <c r="A8" s="2" t="s">
        <v>36</v>
      </c>
      <c r="B8" s="2" t="s">
        <v>21</v>
      </c>
      <c r="C8" s="2" t="s">
        <v>52</v>
      </c>
      <c r="D8" s="2" t="s">
        <v>23</v>
      </c>
      <c r="E8" s="2" t="s">
        <v>36</v>
      </c>
      <c r="F8" s="2" t="s">
        <v>37</v>
      </c>
      <c r="G8" s="5" t="s">
        <v>38</v>
      </c>
      <c r="H8" s="2">
        <v>19</v>
      </c>
      <c r="I8" s="2" t="s">
        <v>45</v>
      </c>
      <c r="J8" s="2">
        <v>9999</v>
      </c>
      <c r="K8" s="2">
        <v>1000</v>
      </c>
      <c r="L8" s="2">
        <v>1999</v>
      </c>
      <c r="M8" s="2" t="s">
        <v>30</v>
      </c>
      <c r="N8" s="2" t="s">
        <v>54</v>
      </c>
      <c r="O8" s="2"/>
      <c r="P8" s="2">
        <v>55999</v>
      </c>
      <c r="Q8" s="2"/>
      <c r="R8" s="2" t="s">
        <v>36</v>
      </c>
      <c r="S8" s="2" t="str">
        <f>CONCATENATE("RUA EXEMPLO, 6 - ", R8)</f>
        <v>RUA EXEMPLO, 6 - Nova Laranjeiras</v>
      </c>
      <c r="T8" s="2">
        <v>11111116</v>
      </c>
      <c r="U8" s="2" t="s">
        <v>55</v>
      </c>
      <c r="V8" s="2" t="s">
        <v>56</v>
      </c>
    </row>
  </sheetData>
  <sortState xmlns:xlrd2="http://schemas.microsoft.com/office/spreadsheetml/2017/richdata2" ref="A3:V8">
    <sortCondition ref="D3:D8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FERNANDES CORREA</dc:creator>
  <cp:lastModifiedBy>Guilherme Ferreira</cp:lastModifiedBy>
  <dcterms:created xsi:type="dcterms:W3CDTF">2025-03-18T15:44:09Z</dcterms:created>
  <dcterms:modified xsi:type="dcterms:W3CDTF">2026-02-10T04:31:55Z</dcterms:modified>
</cp:coreProperties>
</file>